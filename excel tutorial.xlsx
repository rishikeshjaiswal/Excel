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rish\OneDrive\Desktop\"/>
    </mc:Choice>
  </mc:AlternateContent>
  <xr:revisionPtr revIDLastSave="0" documentId="13_ncr:1_{734D8362-840C-4808-91BB-B26419C1892B}" xr6:coauthVersionLast="47" xr6:coauthVersionMax="47" xr10:uidLastSave="{00000000-0000-0000-0000-000000000000}"/>
  <bookViews>
    <workbookView xWindow="-120" yWindow="-120" windowWidth="20730" windowHeight="11760" activeTab="1" xr2:uid="{DFEA43C4-58E9-4153-AC99-2E378463FB3F}"/>
  </bookViews>
  <sheets>
    <sheet name="Sheet2" sheetId="2" r:id="rId1"/>
    <sheet name="Sheet1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P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O27" i="1" a="1"/>
  <c r="O27" i="1" s="1"/>
  <c r="O26" i="1" a="1"/>
  <c r="O26" i="1" s="1"/>
  <c r="O18" i="1" a="1"/>
  <c r="O18" i="1" s="1"/>
  <c r="O22" i="1" a="1"/>
  <c r="O22" i="1" s="1"/>
  <c r="M26" i="1"/>
  <c r="M20" i="1"/>
  <c r="M23" i="1"/>
  <c r="M17" i="1"/>
  <c r="N5" i="1"/>
  <c r="H41" i="1"/>
  <c r="N2" i="1"/>
  <c r="I3" i="1"/>
  <c r="I9" i="1"/>
  <c r="I16" i="1"/>
  <c r="I6" i="1"/>
  <c r="I12" i="1"/>
  <c r="I14" i="1"/>
  <c r="I5" i="1"/>
  <c r="I18" i="1"/>
  <c r="I8" i="1"/>
  <c r="I15" i="1"/>
  <c r="I4" i="1"/>
  <c r="I19" i="1"/>
  <c r="I13" i="1"/>
  <c r="I2" i="1"/>
  <c r="I10" i="1"/>
  <c r="I21" i="1"/>
  <c r="I7" i="1"/>
  <c r="I17" i="1"/>
  <c r="I11" i="1"/>
  <c r="I20" i="1"/>
  <c r="B24" i="1"/>
  <c r="H38" i="1"/>
  <c r="H35" i="1"/>
  <c r="H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<sst xmlns="http://schemas.openxmlformats.org/spreadsheetml/2006/main" count="172" uniqueCount="114">
  <si>
    <t>ID</t>
  </si>
  <si>
    <t>Name</t>
  </si>
  <si>
    <t>Department</t>
  </si>
  <si>
    <t>Age</t>
  </si>
  <si>
    <t>Salary</t>
  </si>
  <si>
    <t>Experience</t>
  </si>
  <si>
    <t>City</t>
  </si>
  <si>
    <t>Performance</t>
  </si>
  <si>
    <t>Rahul</t>
  </si>
  <si>
    <t>IT</t>
  </si>
  <si>
    <t>Delhi</t>
  </si>
  <si>
    <t>Good</t>
  </si>
  <si>
    <t>Priya</t>
  </si>
  <si>
    <t>HR</t>
  </si>
  <si>
    <t>Mumbai</t>
  </si>
  <si>
    <t>Excellent</t>
  </si>
  <si>
    <t>Amit</t>
  </si>
  <si>
    <t>Finance</t>
  </si>
  <si>
    <t>Pune</t>
  </si>
  <si>
    <t>Average</t>
  </si>
  <si>
    <t>Neha</t>
  </si>
  <si>
    <t>Karan</t>
  </si>
  <si>
    <t>Sales</t>
  </si>
  <si>
    <t>Jaipur</t>
  </si>
  <si>
    <t>Simran</t>
  </si>
  <si>
    <t>Chandigarh</t>
  </si>
  <si>
    <t>Arjun</t>
  </si>
  <si>
    <t>Noida</t>
  </si>
  <si>
    <t>Meera</t>
  </si>
  <si>
    <t>Rohit</t>
  </si>
  <si>
    <t>Anjali</t>
  </si>
  <si>
    <t>Bangalore</t>
  </si>
  <si>
    <t>Vivek</t>
  </si>
  <si>
    <t>Pooja</t>
  </si>
  <si>
    <t>Suresh</t>
  </si>
  <si>
    <t>Kavya</t>
  </si>
  <si>
    <t>Chennai</t>
  </si>
  <si>
    <t>Riya</t>
  </si>
  <si>
    <t>Manish</t>
  </si>
  <si>
    <t>Sneha</t>
  </si>
  <si>
    <t>Akash</t>
  </si>
  <si>
    <t>Tina</t>
  </si>
  <si>
    <t>Deepak</t>
  </si>
  <si>
    <t>Average salary=</t>
  </si>
  <si>
    <t>highest salary=</t>
  </si>
  <si>
    <t>Lowest Salary=</t>
  </si>
  <si>
    <t>no. of employee=</t>
  </si>
  <si>
    <t>Bonus</t>
  </si>
  <si>
    <t>Learn</t>
  </si>
  <si>
    <t>sum</t>
  </si>
  <si>
    <t>subtract</t>
  </si>
  <si>
    <t>average</t>
  </si>
  <si>
    <t>max</t>
  </si>
  <si>
    <t>min</t>
  </si>
  <si>
    <t>filter</t>
  </si>
  <si>
    <t>if…</t>
  </si>
  <si>
    <t>Sum of Salary</t>
  </si>
  <si>
    <t>Row Labels</t>
  </si>
  <si>
    <t>Grand Total</t>
  </si>
  <si>
    <t>sum=</t>
  </si>
  <si>
    <t>xlookup</t>
  </si>
  <si>
    <t>Feature</t>
  </si>
  <si>
    <t>VLOOKUP</t>
  </si>
  <si>
    <t>XLOOKUP</t>
  </si>
  <si>
    <t>Easy to use</t>
  </si>
  <si>
    <t>Medium</t>
  </si>
  <si>
    <t>Easy</t>
  </si>
  <si>
    <t>Search direction</t>
  </si>
  <si>
    <t>Left → Right only</t>
  </si>
  <si>
    <t>Both directions</t>
  </si>
  <si>
    <t>Column counting needed</t>
  </si>
  <si>
    <t>Yes</t>
  </si>
  <si>
    <t>No</t>
  </si>
  <si>
    <t>Breaks after column insert</t>
  </si>
  <si>
    <t>Exact match default</t>
  </si>
  <si>
    <t>Available in old Excel</t>
  </si>
  <si>
    <t>New Excel only</t>
  </si>
  <si>
    <t>vlookup</t>
  </si>
  <si>
    <t>pivot</t>
  </si>
  <si>
    <t>graphh</t>
  </si>
  <si>
    <t>Count IT Employees</t>
  </si>
  <si>
    <t>Count HR Employees</t>
  </si>
  <si>
    <t>Total IT Salary</t>
  </si>
  <si>
    <t>Total HR Salary</t>
  </si>
  <si>
    <t>Highest 3 salary</t>
  </si>
  <si>
    <t>smallest 3 Salary</t>
  </si>
  <si>
    <t>Merge</t>
  </si>
  <si>
    <t>Vlookup</t>
  </si>
  <si>
    <t>Xlookup</t>
  </si>
  <si>
    <t>merge column</t>
  </si>
  <si>
    <t xml:space="preserve">small- find 3 or more </t>
  </si>
  <si>
    <t>Large- find 3 or more</t>
  </si>
  <si>
    <t xml:space="preserve"> Can lookup left or right</t>
  </si>
  <si>
    <t>Doesn’t break when columns move</t>
  </si>
  <si>
    <t>Faster on large data</t>
  </si>
  <si>
    <t>More flexible than VLOOKUP</t>
  </si>
  <si>
    <t>Index + Match</t>
  </si>
  <si>
    <t>Comparison</t>
  </si>
  <si>
    <t>counta :for count any text or number</t>
  </si>
  <si>
    <t>count :for only numerical number</t>
  </si>
  <si>
    <t>Part</t>
  </si>
  <si>
    <t>Purpose</t>
  </si>
  <si>
    <t>O2</t>
  </si>
  <si>
    <t>ID to search</t>
  </si>
  <si>
    <t>A2:A21</t>
  </si>
  <si>
    <t>ID column</t>
  </si>
  <si>
    <t>MATCH</t>
  </si>
  <si>
    <t>Finds row number</t>
  </si>
  <si>
    <t>B2:B21</t>
  </si>
  <si>
    <t>Name column</t>
  </si>
  <si>
    <t>INDEX</t>
  </si>
  <si>
    <t>Returns employee name</t>
  </si>
  <si>
    <t>working of Index+Match</t>
  </si>
  <si>
    <t>Small &amp;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</si>
</sst>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DLaM Display"/>
    </font>
    <font>
      <b/>
      <u/>
      <sz val="11"/>
      <color theme="1"/>
      <name val="Amasis MT Pro Black"/>
      <family val="1"/>
    </font>
    <font>
      <b/>
      <u/>
      <sz val="11"/>
      <color theme="1"/>
      <name val="Aharoni"/>
      <charset val="177"/>
    </font>
    <font>
      <b/>
      <u/>
      <sz val="11"/>
      <color theme="1"/>
      <name val="Aptos Narrow"/>
      <family val="2"/>
      <scheme val="minor"/>
    </font>
    <font>
      <b/>
      <u/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2"/>
      <color theme="7" tint="-0.499984740745262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2" fillId="0" borderId="1" xfId="0" applyFont="1" applyBorder="1"/>
    <xf numFmtId="0" fontId="10" fillId="0" borderId="1" xfId="0" applyFont="1" applyBorder="1"/>
    <xf numFmtId="0" fontId="6" fillId="5" borderId="2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6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tutorial.xlsx]Sheet2!PivotTable7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3648293963255"/>
          <c:y val="0.25402559055118112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276000</c:v>
                </c:pt>
                <c:pt idx="1">
                  <c:v>212000</c:v>
                </c:pt>
                <c:pt idx="2">
                  <c:v>244000</c:v>
                </c:pt>
                <c:pt idx="3">
                  <c:v>172000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F-4947-B33C-B86EF915CD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0586408"/>
        <c:axId val="590588208"/>
      </c:barChart>
      <c:catAx>
        <c:axId val="59058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88208"/>
        <c:crosses val="autoZero"/>
        <c:auto val="1"/>
        <c:lblAlgn val="ctr"/>
        <c:lblOffset val="100"/>
        <c:noMultiLvlLbl val="0"/>
      </c:catAx>
      <c:valAx>
        <c:axId val="5905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586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Department vs salary</a:t>
            </a:r>
          </a:p>
        </c:rich>
      </c:tx>
      <c:layout>
        <c:manualLayout>
          <c:xMode val="edge"/>
          <c:yMode val="edge"/>
          <c:x val="0.36464566929133851"/>
          <c:y val="3.8149743450485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Sheet1!$E$2</c:f>
              <c:numCache>
                <c:formatCode>General</c:formatCode>
                <c:ptCount val="1"/>
                <c:pt idx="0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F-4D73-A536-08C476FCCFC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Sheet1!$E$3</c:f>
              <c:numCache>
                <c:formatCode>General</c:formatCode>
                <c:ptCount val="1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F-4D73-A536-08C476FCCFC1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Sheet1!$E$4</c:f>
              <c:numCache>
                <c:formatCode>General</c:formatCode>
                <c:ptCount val="1"/>
                <c:pt idx="0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F-4D73-A536-08C476FCCFC1}"/>
            </c:ext>
          </c:extLst>
        </c:ser>
        <c:ser>
          <c:idx val="3"/>
          <c:order val="3"/>
          <c:tx>
            <c:strRef>
              <c:f>Sheet1!$C$5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6F-4D73-A536-08C476FCCFC1}"/>
            </c:ext>
          </c:extLst>
        </c:ser>
        <c:ser>
          <c:idx val="4"/>
          <c:order val="4"/>
          <c:tx>
            <c:strRef>
              <c:f>Sheet1!$C$6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Sheet1!$E$6</c:f>
              <c:numCache>
                <c:formatCode>General</c:formatCode>
                <c:ptCount val="1"/>
                <c:pt idx="0">
                  <c:v>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6F-4D73-A536-08C476FCCFC1}"/>
            </c:ext>
          </c:extLst>
        </c:ser>
        <c:ser>
          <c:idx val="5"/>
          <c:order val="5"/>
          <c:tx>
            <c:strRef>
              <c:f>Sheet1!$C$7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Sheet1!$E$7</c:f>
              <c:numCache>
                <c:formatCode>General</c:formatCode>
                <c:ptCount val="1"/>
                <c:pt idx="0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6F-4D73-A536-08C476FCCFC1}"/>
            </c:ext>
          </c:extLst>
        </c:ser>
        <c:ser>
          <c:idx val="6"/>
          <c:order val="6"/>
          <c:tx>
            <c:strRef>
              <c:f>Sheet1!$C$8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Sheet1!$E$8</c:f>
              <c:numCache>
                <c:formatCode>General</c:formatCode>
                <c:ptCount val="1"/>
                <c:pt idx="0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6F-4D73-A536-08C476FCCFC1}"/>
            </c:ext>
          </c:extLst>
        </c:ser>
        <c:ser>
          <c:idx val="7"/>
          <c:order val="7"/>
          <c:tx>
            <c:strRef>
              <c:f>Sheet1!$C$9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Sheet1!$E$9</c:f>
              <c:numCache>
                <c:formatCode>General</c:formatCode>
                <c:ptCount val="1"/>
                <c:pt idx="0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6F-4D73-A536-08C476FCCFC1}"/>
            </c:ext>
          </c:extLst>
        </c:ser>
        <c:ser>
          <c:idx val="8"/>
          <c:order val="8"/>
          <c:tx>
            <c:strRef>
              <c:f>Sheet1!$C$10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Sheet1!$E$10</c:f>
              <c:numCache>
                <c:formatCode>General</c:formatCode>
                <c:ptCount val="1"/>
                <c:pt idx="0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6F-4D73-A536-08C476FCCFC1}"/>
            </c:ext>
          </c:extLst>
        </c:ser>
        <c:ser>
          <c:idx val="9"/>
          <c:order val="9"/>
          <c:tx>
            <c:strRef>
              <c:f>Sheet1!$C$11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Sheet1!$E$11</c:f>
              <c:numCache>
                <c:formatCode>General</c:formatCode>
                <c:ptCount val="1"/>
                <c:pt idx="0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6F-4D73-A536-08C476FCCFC1}"/>
            </c:ext>
          </c:extLst>
        </c:ser>
        <c:ser>
          <c:idx val="10"/>
          <c:order val="10"/>
          <c:tx>
            <c:strRef>
              <c:f>Sheet1!$C$12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Sheet1!$E$12</c:f>
              <c:numCache>
                <c:formatCode>General</c:formatCode>
                <c:ptCount val="1"/>
                <c:pt idx="0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6F-4D73-A536-08C476FCCFC1}"/>
            </c:ext>
          </c:extLst>
        </c:ser>
        <c:ser>
          <c:idx val="11"/>
          <c:order val="11"/>
          <c:tx>
            <c:strRef>
              <c:f>Sheet1!$C$13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Sheet1!$E$13</c:f>
              <c:numCache>
                <c:formatCode>General</c:formatCode>
                <c:ptCount val="1"/>
                <c:pt idx="0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86F-4D73-A536-08C476FCCFC1}"/>
            </c:ext>
          </c:extLst>
        </c:ser>
        <c:ser>
          <c:idx val="12"/>
          <c:order val="12"/>
          <c:tx>
            <c:strRef>
              <c:f>Sheet1!$C$14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Sheet1!$E$14</c:f>
              <c:numCache>
                <c:formatCode>General</c:formatCode>
                <c:ptCount val="1"/>
                <c:pt idx="0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6F-4D73-A536-08C476FCCFC1}"/>
            </c:ext>
          </c:extLst>
        </c:ser>
        <c:ser>
          <c:idx val="13"/>
          <c:order val="13"/>
          <c:tx>
            <c:strRef>
              <c:f>Sheet1!$C$15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Sheet1!$E$15</c:f>
              <c:numCache>
                <c:formatCode>General</c:formatCode>
                <c:ptCount val="1"/>
                <c:pt idx="0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86F-4D73-A536-08C476FCCFC1}"/>
            </c:ext>
          </c:extLst>
        </c:ser>
        <c:ser>
          <c:idx val="14"/>
          <c:order val="14"/>
          <c:tx>
            <c:strRef>
              <c:f>Sheet1!$C$16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Sheet1!$E$16</c:f>
              <c:numCache>
                <c:formatCode>General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6F-4D73-A536-08C476FCCFC1}"/>
            </c:ext>
          </c:extLst>
        </c:ser>
        <c:ser>
          <c:idx val="15"/>
          <c:order val="15"/>
          <c:tx>
            <c:strRef>
              <c:f>Sheet1!$C$17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Sheet1!$E$17</c:f>
              <c:numCache>
                <c:formatCode>General</c:formatCode>
                <c:ptCount val="1"/>
                <c:pt idx="0">
                  <c:v>51000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86F-4D73-A536-08C476FCCFC1}"/>
            </c:ext>
          </c:extLst>
        </c:ser>
        <c:ser>
          <c:idx val="16"/>
          <c:order val="16"/>
          <c:tx>
            <c:strRef>
              <c:f>Sheet1!$C$18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Sheet1!$E$18</c:f>
              <c:numCache>
                <c:formatCode>General</c:formatCode>
                <c:ptCount val="1"/>
                <c:pt idx="0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86F-4D73-A536-08C476FCCFC1}"/>
            </c:ext>
          </c:extLst>
        </c:ser>
        <c:ser>
          <c:idx val="17"/>
          <c:order val="17"/>
          <c:tx>
            <c:strRef>
              <c:f>Sheet1!$C$19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Sheet1!$E$19</c:f>
              <c:numCache>
                <c:formatCode>General</c:formatCode>
                <c:ptCount val="1"/>
                <c:pt idx="0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86F-4D73-A536-08C476FCCFC1}"/>
            </c:ext>
          </c:extLst>
        </c:ser>
        <c:ser>
          <c:idx val="18"/>
          <c:order val="18"/>
          <c:tx>
            <c:strRef>
              <c:f>Sheet1!$C$20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Sheet1!$E$20</c:f>
              <c:numCache>
                <c:formatCode>General</c:formatCode>
                <c:ptCount val="1"/>
                <c:pt idx="0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86F-4D73-A536-08C476FCCFC1}"/>
            </c:ext>
          </c:extLst>
        </c:ser>
        <c:ser>
          <c:idx val="19"/>
          <c:order val="19"/>
          <c:tx>
            <c:strRef>
              <c:f>Sheet1!$C$21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Sheet1!$E$1</c:f>
              <c:strCache>
                <c:ptCount val="1"/>
                <c:pt idx="0">
                  <c:v>Salary</c:v>
                </c:pt>
              </c:strCache>
            </c:strRef>
          </c:cat>
          <c:val>
            <c:numRef>
              <c:f>Sheet1!$E$21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86F-4D73-A536-08C476FCCF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86933064"/>
        <c:axId val="586930904"/>
        <c:extLst>
          <c:ext xmlns:c15="http://schemas.microsoft.com/office/drawing/2012/chart" uri="{02D57815-91ED-43cb-92C2-25804820EDAC}">
            <c15:filteredBarSeries>
              <c15:ser>
                <c:idx val="20"/>
                <c:order val="20"/>
                <c:tx>
                  <c:strRef>
                    <c:extLst>
                      <c:ext uri="{02D57815-91ED-43cb-92C2-25804820EDAC}">
                        <c15:formulaRef>
                          <c15:sqref>Sheet1!$C$22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Sheet1!$E$22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286F-4D73-A536-08C476FCCFC1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286F-4D73-A536-08C476FCCFC1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286F-4D73-A536-08C476FCCFC1}"/>
                  </c:ext>
                </c:extLst>
              </c15:ser>
            </c15:filteredBarSeries>
            <c15:filteredBar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Sheet1!$E$25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286F-4D73-A536-08C476FCCFC1}"/>
                  </c:ext>
                </c:extLst>
              </c15:ser>
            </c15:filteredBarSeries>
            <c15:filteredBar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286F-4D73-A536-08C476FCCFC1}"/>
                  </c:ext>
                </c:extLst>
              </c15:ser>
            </c15:filteredBarSeries>
            <c15:filteredBar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286F-4D73-A536-08C476FCCFC1}"/>
                  </c:ext>
                </c:extLst>
              </c15:ser>
            </c15:filteredBarSeries>
            <c15:filteredBar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286F-4D73-A536-08C476FCCFC1}"/>
                  </c:ext>
                </c:extLst>
              </c15:ser>
            </c15:filteredBarSeries>
            <c15:filteredBar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Sheet1!$C$29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B-286F-4D73-A536-08C476FCCFC1}"/>
                  </c:ext>
                </c:extLst>
              </c15:ser>
            </c15:filteredBarSeries>
            <c15:filteredBar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286F-4D73-A536-08C476FCCFC1}"/>
                  </c:ext>
                </c:extLst>
              </c15:ser>
            </c15:filteredBarSeries>
            <c15:filteredBar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D-286F-4D73-A536-08C476FCCFC1}"/>
                  </c:ext>
                </c:extLst>
              </c15:ser>
            </c15:filteredBarSeries>
          </c:ext>
        </c:extLst>
      </c:barChart>
      <c:catAx>
        <c:axId val="586933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30904"/>
        <c:crosses val="autoZero"/>
        <c:auto val="1"/>
        <c:lblAlgn val="ctr"/>
        <c:lblOffset val="100"/>
        <c:noMultiLvlLbl val="0"/>
      </c:catAx>
      <c:valAx>
        <c:axId val="58693090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Salary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86933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147637</xdr:rowOff>
    </xdr:from>
    <xdr:to>
      <xdr:col>10</xdr:col>
      <xdr:colOff>438150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90C9D-47F1-AE55-0096-15F8C5B15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24</xdr:row>
      <xdr:rowOff>95250</xdr:rowOff>
    </xdr:from>
    <xdr:to>
      <xdr:col>6</xdr:col>
      <xdr:colOff>66675</xdr:colOff>
      <xdr:row>41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FB0C0-5978-F86D-4AC1-0AFA4AF4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kesh Jaiswal" refreshedDate="46151.141311111111" createdVersion="8" refreshedVersion="8" minRefreshableVersion="3" recordCount="20" xr:uid="{5ADED5F2-C6A5-4BE8-9C52-D462BB90DE91}">
  <cacheSource type="worksheet">
    <worksheetSource name="Table2"/>
  </cacheSource>
  <cacheFields count="9">
    <cacheField name="ID" numFmtId="0">
      <sharedItems containsSemiMixedTypes="0" containsString="0" containsNumber="1" containsInteger="1" minValue="101" maxValue="120"/>
    </cacheField>
    <cacheField name="Name" numFmtId="0">
      <sharedItems count="20">
        <s v="Kavya"/>
        <s v="Rahul"/>
        <s v="Vivek"/>
        <s v="Arjun"/>
        <s v="Neha"/>
        <s v="Sneha"/>
        <s v="Rohit"/>
        <s v="Priya"/>
        <s v="Riya"/>
        <s v="Tina"/>
        <s v="Karan"/>
        <s v="Suresh"/>
        <s v="Simran"/>
        <s v="Anjali"/>
        <s v="Amit"/>
        <s v="Akash"/>
        <s v="Meera"/>
        <s v="Pooja"/>
        <s v="Deepak"/>
        <s v="Manish"/>
      </sharedItems>
    </cacheField>
    <cacheField name="Department" numFmtId="0">
      <sharedItems count="4">
        <s v="IT"/>
        <s v="HR"/>
        <s v="Sales"/>
        <s v="Finance"/>
      </sharedItems>
    </cacheField>
    <cacheField name="Age" numFmtId="0">
      <sharedItems containsSemiMixedTypes="0" containsString="0" containsNumber="1" containsInteger="1" minValue="24" maxValue="35"/>
    </cacheField>
    <cacheField name="Salary" numFmtId="0">
      <sharedItems containsSemiMixedTypes="0" containsString="0" containsNumber="1" containsInteger="1" minValue="34000" maxValue="60000"/>
    </cacheField>
    <cacheField name="Experience" numFmtId="0">
      <sharedItems containsSemiMixedTypes="0" containsString="0" containsNumber="1" containsInteger="1" minValue="1" maxValue="10"/>
    </cacheField>
    <cacheField name="City" numFmtId="0">
      <sharedItems/>
    </cacheField>
    <cacheField name="Performance" numFmtId="0">
      <sharedItems/>
    </cacheField>
    <cacheField name="Bon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14"/>
    <x v="0"/>
    <x v="0"/>
    <n v="24"/>
    <n v="34000"/>
    <n v="1"/>
    <s v="Chennai"/>
    <s v="Average"/>
    <s v="Low bonus"/>
  </r>
  <r>
    <n v="101"/>
    <x v="1"/>
    <x v="0"/>
    <n v="24"/>
    <n v="35000"/>
    <n v="1"/>
    <s v="Delhi"/>
    <s v="Good"/>
    <s v="Low bonus"/>
  </r>
  <r>
    <n v="111"/>
    <x v="2"/>
    <x v="1"/>
    <n v="26"/>
    <n v="36000"/>
    <n v="2"/>
    <s v="Pune"/>
    <s v="Average"/>
    <s v="Low bonus"/>
  </r>
  <r>
    <n v="107"/>
    <x v="3"/>
    <x v="0"/>
    <n v="25"/>
    <n v="37000"/>
    <n v="2"/>
    <s v="Noida"/>
    <s v="Average"/>
    <s v="Low bonus"/>
  </r>
  <r>
    <n v="104"/>
    <x v="4"/>
    <x v="0"/>
    <n v="26"/>
    <n v="39000"/>
    <n v="2"/>
    <s v="Delhi"/>
    <s v="Good"/>
    <s v="Low bonus"/>
  </r>
  <r>
    <n v="117"/>
    <x v="5"/>
    <x v="2"/>
    <n v="27"/>
    <n v="40000"/>
    <n v="3"/>
    <s v="Noida"/>
    <s v="Average"/>
    <s v="Low bonus"/>
  </r>
  <r>
    <n v="109"/>
    <x v="6"/>
    <x v="2"/>
    <n v="27"/>
    <n v="41000"/>
    <n v="3"/>
    <s v="Delhi"/>
    <s v="Good"/>
    <s v="Low bonus"/>
  </r>
  <r>
    <n v="102"/>
    <x v="7"/>
    <x v="1"/>
    <n v="29"/>
    <n v="42000"/>
    <n v="4"/>
    <s v="Mumbai"/>
    <s v="Excellent"/>
    <s v="Low bonus"/>
  </r>
  <r>
    <n v="115"/>
    <x v="8"/>
    <x v="1"/>
    <n v="28"/>
    <n v="43000"/>
    <n v="4"/>
    <s v="Delhi"/>
    <s v="Good"/>
    <s v="Low bonus"/>
  </r>
  <r>
    <n v="119"/>
    <x v="9"/>
    <x v="1"/>
    <n v="29"/>
    <n v="44000"/>
    <n v="4"/>
    <s v="Chandigarh"/>
    <s v="Good"/>
    <s v="Low bonus"/>
  </r>
  <r>
    <n v="105"/>
    <x v="10"/>
    <x v="2"/>
    <n v="28"/>
    <n v="45000"/>
    <n v="5"/>
    <s v="Jaipur"/>
    <s v="Excellent"/>
    <s v="Low bonus"/>
  </r>
  <r>
    <n v="113"/>
    <x v="11"/>
    <x v="2"/>
    <n v="30"/>
    <n v="46000"/>
    <n v="5"/>
    <s v="Jaipur"/>
    <s v="Good"/>
    <s v="Low bonus"/>
  </r>
  <r>
    <n v="106"/>
    <x v="12"/>
    <x v="1"/>
    <n v="30"/>
    <n v="47000"/>
    <n v="6"/>
    <s v="Chandigarh"/>
    <s v="Good"/>
    <s v="Low bonus"/>
  </r>
  <r>
    <n v="110"/>
    <x v="13"/>
    <x v="0"/>
    <n v="29"/>
    <n v="48000"/>
    <n v="5"/>
    <s v="Bangalore"/>
    <s v="Excellent"/>
    <s v="Low bonus"/>
  </r>
  <r>
    <n v="103"/>
    <x v="14"/>
    <x v="3"/>
    <n v="31"/>
    <n v="50000"/>
    <n v="6"/>
    <s v="Pune"/>
    <s v="Average"/>
    <s v="Low bonus"/>
  </r>
  <r>
    <n v="118"/>
    <x v="15"/>
    <x v="0"/>
    <n v="31"/>
    <n v="51000"/>
    <n v="7"/>
    <s v="Bangalore"/>
    <s v="Excellent"/>
    <s v="high bonus"/>
  </r>
  <r>
    <n v="108"/>
    <x v="16"/>
    <x v="3"/>
    <n v="32"/>
    <n v="52000"/>
    <n v="7"/>
    <s v="Mumbai"/>
    <s v="Excellent"/>
    <s v="high bonus"/>
  </r>
  <r>
    <n v="112"/>
    <x v="17"/>
    <x v="3"/>
    <n v="33"/>
    <n v="56000"/>
    <n v="8"/>
    <s v="Mumbai"/>
    <s v="Excellent"/>
    <s v="high bonus"/>
  </r>
  <r>
    <n v="120"/>
    <x v="18"/>
    <x v="3"/>
    <n v="34"/>
    <n v="58000"/>
    <n v="9"/>
    <s v="Mumbai"/>
    <s v="Excellent"/>
    <s v="high bonus"/>
  </r>
  <r>
    <n v="116"/>
    <x v="19"/>
    <x v="3"/>
    <n v="35"/>
    <n v="60000"/>
    <n v="10"/>
    <s v="Pune"/>
    <s v="Excellent"/>
    <s v="high bon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E2C44-DF04-4D50-9992-691D9E09D48C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9">
    <pivotField showAll="0"/>
    <pivotField showAll="0">
      <items count="21">
        <item x="15"/>
        <item x="14"/>
        <item x="13"/>
        <item x="3"/>
        <item x="18"/>
        <item x="10"/>
        <item x="0"/>
        <item x="19"/>
        <item x="16"/>
        <item x="4"/>
        <item x="17"/>
        <item x="7"/>
        <item x="1"/>
        <item x="8"/>
        <item x="6"/>
        <item x="12"/>
        <item x="5"/>
        <item x="11"/>
        <item x="9"/>
        <item x="2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E99225-7FC2-4C0D-A939-621009EEC038}" name="Table2" displayName="Table2" ref="A1:J22" totalsRowCount="1" headerRowDxfId="23" dataDxfId="22">
  <autoFilter ref="A1:J21" xr:uid="{BFE99225-7FC2-4C0D-A939-621009EEC038}"/>
  <sortState xmlns:xlrd2="http://schemas.microsoft.com/office/spreadsheetml/2017/richdata2" ref="A2:I21">
    <sortCondition ref="E1:E21"/>
  </sortState>
  <tableColumns count="10">
    <tableColumn id="1" xr3:uid="{4DB52DC9-899A-4774-99AF-137E79857BB1}" name="ID" dataDxfId="21" totalsRowDxfId="12"/>
    <tableColumn id="2" xr3:uid="{F9B9D218-6295-41F9-B3B6-4101E7B92A78}" name="Name" dataDxfId="20" totalsRowDxfId="11"/>
    <tableColumn id="3" xr3:uid="{902E73DC-689F-4205-BA21-95A4B6C70732}" name="Department" dataDxfId="19" totalsRowDxfId="10"/>
    <tableColumn id="4" xr3:uid="{424DCBE5-7C37-424B-A1FB-F1A9AF891BC2}" name="Age" dataDxfId="18" totalsRowDxfId="9"/>
    <tableColumn id="5" xr3:uid="{294CD33A-F036-4AF8-958B-E283B22A9D46}" name="Salary" dataDxfId="13"/>
    <tableColumn id="6" xr3:uid="{88AF675C-BE31-429D-B40A-E8B5F8F54BDD}" name="Experience" dataDxfId="17" totalsRowDxfId="8"/>
    <tableColumn id="7" xr3:uid="{F1C4592D-5682-4006-8E49-0B5DB0758DC7}" name="City" dataDxfId="16" totalsRowDxfId="7"/>
    <tableColumn id="8" xr3:uid="{E153EB94-896E-4D63-A173-3580A92BE880}" name="Performance" dataDxfId="15" totalsRowDxfId="6"/>
    <tableColumn id="9" xr3:uid="{2FD8A084-B0A2-481F-8669-C9443B93C06D}" name="Bonus" dataDxfId="14" totalsRowDxfId="5">
      <calculatedColumnFormula>IF(E2&gt;50000,"high bonus","Low bonus")</calculatedColumnFormula>
    </tableColumn>
    <tableColumn id="11" xr3:uid="{16BF841B-FC6E-4125-BAC1-4C95F9D347BA}" name="Merge" dataDxfId="3" totalsRowDxfId="4">
      <calculatedColumnFormula>B2 &amp;"  " &amp; "(" &amp; C2 &amp; ")"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317-2107-4619-938E-90A2014D4ECA}">
  <dimension ref="A3:B8"/>
  <sheetViews>
    <sheetView workbookViewId="0">
      <selection activeCell="N18" sqref="N18"/>
    </sheetView>
  </sheetViews>
  <sheetFormatPr defaultRowHeight="15" x14ac:dyDescent="0.25"/>
  <cols>
    <col min="1" max="1" width="13.42578125" bestFit="1" customWidth="1"/>
    <col min="2" max="2" width="13.28515625" bestFit="1" customWidth="1"/>
  </cols>
  <sheetData>
    <row r="3" spans="1:2" x14ac:dyDescent="0.25">
      <c r="A3" s="4" t="s">
        <v>57</v>
      </c>
      <c r="B3" t="s">
        <v>56</v>
      </c>
    </row>
    <row r="4" spans="1:2" x14ac:dyDescent="0.25">
      <c r="A4" s="5" t="s">
        <v>17</v>
      </c>
      <c r="B4" s="3">
        <v>276000</v>
      </c>
    </row>
    <row r="5" spans="1:2" x14ac:dyDescent="0.25">
      <c r="A5" s="5" t="s">
        <v>13</v>
      </c>
      <c r="B5" s="3">
        <v>212000</v>
      </c>
    </row>
    <row r="6" spans="1:2" x14ac:dyDescent="0.25">
      <c r="A6" s="5" t="s">
        <v>9</v>
      </c>
      <c r="B6" s="3">
        <v>244000</v>
      </c>
    </row>
    <row r="7" spans="1:2" x14ac:dyDescent="0.25">
      <c r="A7" s="5" t="s">
        <v>22</v>
      </c>
      <c r="B7" s="3">
        <v>172000</v>
      </c>
    </row>
    <row r="8" spans="1:2" x14ac:dyDescent="0.25">
      <c r="A8" s="5" t="s">
        <v>58</v>
      </c>
      <c r="B8" s="3">
        <v>904000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A531-1897-46DF-8225-0E0E7B82634A}">
  <dimension ref="A1:W41"/>
  <sheetViews>
    <sheetView tabSelected="1" workbookViewId="0">
      <selection activeCell="R1" sqref="R1:S1"/>
    </sheetView>
  </sheetViews>
  <sheetFormatPr defaultRowHeight="15" x14ac:dyDescent="0.25"/>
  <cols>
    <col min="1" max="1" width="13" customWidth="1"/>
    <col min="2" max="2" width="21.5703125" customWidth="1"/>
    <col min="3" max="3" width="15.5703125" customWidth="1"/>
    <col min="4" max="4" width="11.85546875" customWidth="1"/>
    <col min="5" max="5" width="12.85546875" customWidth="1"/>
    <col min="6" max="6" width="13.28515625" customWidth="1"/>
    <col min="7" max="7" width="13.5703125" customWidth="1"/>
    <col min="8" max="8" width="16" customWidth="1"/>
    <col min="9" max="9" width="17.140625" customWidth="1"/>
    <col min="10" max="10" width="20.7109375" customWidth="1"/>
    <col min="13" max="13" width="26.7109375" customWidth="1"/>
    <col min="14" max="14" width="21" customWidth="1"/>
    <col min="15" max="15" width="20.7109375" customWidth="1"/>
    <col min="16" max="16" width="31.5703125" customWidth="1"/>
    <col min="17" max="19" width="26.5703125" customWidth="1"/>
    <col min="20" max="20" width="16" customWidth="1"/>
    <col min="23" max="23" width="32.28515625" customWidth="1"/>
  </cols>
  <sheetData>
    <row r="1" spans="1:23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</v>
      </c>
      <c r="J1" s="1" t="s">
        <v>86</v>
      </c>
      <c r="M1" s="33" t="s">
        <v>87</v>
      </c>
      <c r="N1" s="34"/>
      <c r="O1" s="36" t="s">
        <v>96</v>
      </c>
      <c r="P1" s="37"/>
      <c r="Q1" s="38"/>
      <c r="R1" s="41" t="s">
        <v>112</v>
      </c>
      <c r="S1" s="42"/>
      <c r="W1" s="19" t="s">
        <v>48</v>
      </c>
    </row>
    <row r="2" spans="1:23" ht="16.5" thickBot="1" x14ac:dyDescent="0.3">
      <c r="A2" s="2">
        <v>114</v>
      </c>
      <c r="B2" s="2" t="s">
        <v>35</v>
      </c>
      <c r="C2" s="2" t="s">
        <v>9</v>
      </c>
      <c r="D2" s="2">
        <v>24</v>
      </c>
      <c r="E2" s="2">
        <v>34000</v>
      </c>
      <c r="F2" s="2">
        <v>1</v>
      </c>
      <c r="G2" s="2" t="s">
        <v>36</v>
      </c>
      <c r="H2" s="2" t="s">
        <v>19</v>
      </c>
      <c r="I2" s="2" t="str">
        <f>IF(E2&gt;50000,"high bonus","Low bonus")</f>
        <v>Low bonus</v>
      </c>
      <c r="J2" s="2" t="str">
        <f t="shared" ref="J2:J21" si="0">B2 &amp;"  " &amp; "(" &amp; C2 &amp; ")"</f>
        <v>Kavya  (IT)</v>
      </c>
      <c r="M2" s="12">
        <v>108</v>
      </c>
      <c r="N2" s="15" t="str">
        <f>VLOOKUP(M2,A2:H21,2,FALSE)</f>
        <v>Meera</v>
      </c>
      <c r="O2" s="16">
        <v>105</v>
      </c>
      <c r="P2" s="17" t="str">
        <f>INDEX(B2:B21,MATCH(O2,A2:A21,0))</f>
        <v>Karan</v>
      </c>
      <c r="Q2" s="20">
        <f>INDEX(E2:E21,MATCH(O2,A2:A21,0))</f>
        <v>45000</v>
      </c>
      <c r="R2" s="23" t="s">
        <v>100</v>
      </c>
      <c r="S2" s="23" t="s">
        <v>101</v>
      </c>
      <c r="W2" s="6" t="s">
        <v>49</v>
      </c>
    </row>
    <row r="3" spans="1:23" x14ac:dyDescent="0.25">
      <c r="A3" s="2">
        <v>101</v>
      </c>
      <c r="B3" s="2" t="s">
        <v>8</v>
      </c>
      <c r="C3" s="2" t="s">
        <v>9</v>
      </c>
      <c r="D3" s="2">
        <v>24</v>
      </c>
      <c r="E3" s="2">
        <v>35000</v>
      </c>
      <c r="F3" s="2">
        <v>1</v>
      </c>
      <c r="G3" s="2" t="s">
        <v>10</v>
      </c>
      <c r="H3" s="2" t="s">
        <v>11</v>
      </c>
      <c r="I3" s="2" t="str">
        <f>IF(E3&gt;50000,"high bonus","Low bonus")</f>
        <v>Low bonus</v>
      </c>
      <c r="J3" s="2" t="str">
        <f t="shared" si="0"/>
        <v>Rahul  (IT)</v>
      </c>
      <c r="M3" s="10"/>
      <c r="N3" s="11"/>
      <c r="R3" s="21" t="s">
        <v>102</v>
      </c>
      <c r="S3" s="22" t="s">
        <v>103</v>
      </c>
      <c r="W3" s="6" t="s">
        <v>50</v>
      </c>
    </row>
    <row r="4" spans="1:23" x14ac:dyDescent="0.25">
      <c r="A4" s="2">
        <v>111</v>
      </c>
      <c r="B4" s="2" t="s">
        <v>32</v>
      </c>
      <c r="C4" s="2" t="s">
        <v>13</v>
      </c>
      <c r="D4" s="2">
        <v>26</v>
      </c>
      <c r="E4" s="2">
        <v>36000</v>
      </c>
      <c r="F4" s="2">
        <v>2</v>
      </c>
      <c r="G4" s="2" t="s">
        <v>18</v>
      </c>
      <c r="H4" s="2" t="s">
        <v>19</v>
      </c>
      <c r="I4" s="2" t="str">
        <f>IF(E4&gt;50000,"high bonus","Low bonus")</f>
        <v>Low bonus</v>
      </c>
      <c r="J4" s="2" t="str">
        <f t="shared" si="0"/>
        <v>Vivek  (HR)</v>
      </c>
      <c r="M4" s="35" t="s">
        <v>88</v>
      </c>
      <c r="N4" s="35"/>
      <c r="R4" s="21" t="s">
        <v>104</v>
      </c>
      <c r="S4" s="22" t="s">
        <v>105</v>
      </c>
      <c r="W4" s="6" t="s">
        <v>51</v>
      </c>
    </row>
    <row r="5" spans="1:23" ht="15.75" x14ac:dyDescent="0.25">
      <c r="A5" s="2">
        <v>107</v>
      </c>
      <c r="B5" s="2" t="s">
        <v>26</v>
      </c>
      <c r="C5" s="2" t="s">
        <v>9</v>
      </c>
      <c r="D5" s="2">
        <v>25</v>
      </c>
      <c r="E5" s="2">
        <v>37000</v>
      </c>
      <c r="F5" s="2">
        <v>2</v>
      </c>
      <c r="G5" s="2" t="s">
        <v>27</v>
      </c>
      <c r="H5" s="2" t="s">
        <v>19</v>
      </c>
      <c r="I5" s="2" t="str">
        <f>IF(E5&gt;50000,"high bonus","Low bonus")</f>
        <v>Low bonus</v>
      </c>
      <c r="J5" s="2" t="str">
        <f t="shared" si="0"/>
        <v>Arjun  (IT)</v>
      </c>
      <c r="M5" s="13">
        <v>107</v>
      </c>
      <c r="N5" s="14" t="str">
        <f>_xlfn.XLOOKUP(M5,A2:A21,B2:B21)</f>
        <v>Arjun</v>
      </c>
      <c r="R5" s="21" t="s">
        <v>106</v>
      </c>
      <c r="S5" s="22" t="s">
        <v>107</v>
      </c>
      <c r="W5" s="6" t="s">
        <v>52</v>
      </c>
    </row>
    <row r="6" spans="1:23" ht="21" x14ac:dyDescent="0.35">
      <c r="A6" s="2">
        <v>104</v>
      </c>
      <c r="B6" s="2" t="s">
        <v>20</v>
      </c>
      <c r="C6" s="2" t="s">
        <v>9</v>
      </c>
      <c r="D6" s="2">
        <v>26</v>
      </c>
      <c r="E6" s="2">
        <v>39000</v>
      </c>
      <c r="F6" s="2">
        <v>2</v>
      </c>
      <c r="G6" s="2" t="s">
        <v>10</v>
      </c>
      <c r="H6" s="2" t="s">
        <v>11</v>
      </c>
      <c r="I6" s="2" t="str">
        <f>IF(E6&gt;50000,"high bonus","Low bonus")</f>
        <v>Low bonus</v>
      </c>
      <c r="J6" s="2" t="str">
        <f t="shared" si="0"/>
        <v>Neha  (IT)</v>
      </c>
      <c r="M6" s="39" t="s">
        <v>97</v>
      </c>
      <c r="N6" s="40"/>
      <c r="O6" s="40"/>
      <c r="P6" s="40"/>
      <c r="R6" s="21" t="s">
        <v>108</v>
      </c>
      <c r="S6" s="22" t="s">
        <v>109</v>
      </c>
      <c r="W6" s="6" t="s">
        <v>53</v>
      </c>
    </row>
    <row r="7" spans="1:23" x14ac:dyDescent="0.25">
      <c r="A7" s="2">
        <v>117</v>
      </c>
      <c r="B7" s="2" t="s">
        <v>39</v>
      </c>
      <c r="C7" s="2" t="s">
        <v>22</v>
      </c>
      <c r="D7" s="2">
        <v>27</v>
      </c>
      <c r="E7" s="2">
        <v>40000</v>
      </c>
      <c r="F7" s="2">
        <v>3</v>
      </c>
      <c r="G7" s="2" t="s">
        <v>27</v>
      </c>
      <c r="H7" s="2" t="s">
        <v>19</v>
      </c>
      <c r="I7" s="2" t="str">
        <f>IF(E7&gt;50000,"high bonus","Low bonus")</f>
        <v>Low bonus</v>
      </c>
      <c r="J7" s="2" t="str">
        <f t="shared" si="0"/>
        <v>Sneha  (Sales)</v>
      </c>
      <c r="M7" s="8" t="s">
        <v>61</v>
      </c>
      <c r="N7" s="8" t="s">
        <v>62</v>
      </c>
      <c r="O7" s="8" t="s">
        <v>63</v>
      </c>
      <c r="P7" s="8" t="s">
        <v>96</v>
      </c>
      <c r="R7" s="21" t="s">
        <v>110</v>
      </c>
      <c r="S7" s="22" t="s">
        <v>111</v>
      </c>
      <c r="W7" s="6" t="s">
        <v>54</v>
      </c>
    </row>
    <row r="8" spans="1:23" x14ac:dyDescent="0.25">
      <c r="A8" s="2">
        <v>109</v>
      </c>
      <c r="B8" s="2" t="s">
        <v>29</v>
      </c>
      <c r="C8" s="2" t="s">
        <v>22</v>
      </c>
      <c r="D8" s="2">
        <v>27</v>
      </c>
      <c r="E8" s="2">
        <v>41000</v>
      </c>
      <c r="F8" s="2">
        <v>3</v>
      </c>
      <c r="G8" s="2" t="s">
        <v>10</v>
      </c>
      <c r="H8" s="2" t="s">
        <v>11</v>
      </c>
      <c r="I8" s="2" t="str">
        <f>IF(E8&gt;50000,"high bonus","Low bonus")</f>
        <v>Low bonus</v>
      </c>
      <c r="J8" s="2" t="str">
        <f t="shared" si="0"/>
        <v>Rohit  (Sales)</v>
      </c>
      <c r="M8" s="7" t="s">
        <v>64</v>
      </c>
      <c r="N8" s="7" t="s">
        <v>65</v>
      </c>
      <c r="O8" s="7" t="s">
        <v>66</v>
      </c>
      <c r="P8" s="6" t="s">
        <v>95</v>
      </c>
      <c r="W8" s="6" t="s">
        <v>55</v>
      </c>
    </row>
    <row r="9" spans="1:23" x14ac:dyDescent="0.25">
      <c r="A9" s="2">
        <v>102</v>
      </c>
      <c r="B9" s="2" t="s">
        <v>12</v>
      </c>
      <c r="C9" s="2" t="s">
        <v>13</v>
      </c>
      <c r="D9" s="2">
        <v>29</v>
      </c>
      <c r="E9" s="2">
        <v>42000</v>
      </c>
      <c r="F9" s="2">
        <v>4</v>
      </c>
      <c r="G9" s="2" t="s">
        <v>14</v>
      </c>
      <c r="H9" s="2" t="s">
        <v>15</v>
      </c>
      <c r="I9" s="2" t="str">
        <f>IF(E9&gt;50000,"high bonus","Low bonus")</f>
        <v>Low bonus</v>
      </c>
      <c r="J9" s="2" t="str">
        <f t="shared" si="0"/>
        <v>Priya  (HR)</v>
      </c>
      <c r="M9" s="7" t="s">
        <v>67</v>
      </c>
      <c r="N9" s="7" t="s">
        <v>68</v>
      </c>
      <c r="O9" s="7" t="s">
        <v>69</v>
      </c>
      <c r="P9" s="6" t="s">
        <v>94</v>
      </c>
      <c r="W9" s="6" t="s">
        <v>98</v>
      </c>
    </row>
    <row r="10" spans="1:23" x14ac:dyDescent="0.25">
      <c r="A10" s="2">
        <v>115</v>
      </c>
      <c r="B10" s="2" t="s">
        <v>37</v>
      </c>
      <c r="C10" s="2" t="s">
        <v>13</v>
      </c>
      <c r="D10" s="2">
        <v>28</v>
      </c>
      <c r="E10" s="2">
        <v>43000</v>
      </c>
      <c r="F10" s="2">
        <v>4</v>
      </c>
      <c r="G10" s="2" t="s">
        <v>10</v>
      </c>
      <c r="H10" s="2" t="s">
        <v>11</v>
      </c>
      <c r="I10" s="2" t="str">
        <f>IF(E10&gt;50000,"high bonus","Low bonus")</f>
        <v>Low bonus</v>
      </c>
      <c r="J10" s="2" t="str">
        <f t="shared" si="0"/>
        <v>Riya  (HR)</v>
      </c>
      <c r="M10" s="7" t="s">
        <v>70</v>
      </c>
      <c r="N10" s="7" t="s">
        <v>71</v>
      </c>
      <c r="O10" s="7" t="s">
        <v>72</v>
      </c>
      <c r="P10" s="6" t="s">
        <v>92</v>
      </c>
      <c r="W10" s="6" t="s">
        <v>99</v>
      </c>
    </row>
    <row r="11" spans="1:23" x14ac:dyDescent="0.25">
      <c r="A11" s="2">
        <v>119</v>
      </c>
      <c r="B11" s="2" t="s">
        <v>41</v>
      </c>
      <c r="C11" s="2" t="s">
        <v>13</v>
      </c>
      <c r="D11" s="2">
        <v>29</v>
      </c>
      <c r="E11" s="2">
        <v>44000</v>
      </c>
      <c r="F11" s="2">
        <v>4</v>
      </c>
      <c r="G11" s="2" t="s">
        <v>25</v>
      </c>
      <c r="H11" s="2" t="s">
        <v>11</v>
      </c>
      <c r="I11" s="2" t="str">
        <f>IF(E11&gt;50000,"high bonus","Low bonus")</f>
        <v>Low bonus</v>
      </c>
      <c r="J11" s="2" t="str">
        <f t="shared" si="0"/>
        <v>Tina  (HR)</v>
      </c>
      <c r="M11" s="7" t="s">
        <v>73</v>
      </c>
      <c r="N11" s="7" t="s">
        <v>71</v>
      </c>
      <c r="O11" s="7" t="s">
        <v>72</v>
      </c>
      <c r="P11" s="6" t="s">
        <v>93</v>
      </c>
      <c r="W11" s="18" t="s">
        <v>60</v>
      </c>
    </row>
    <row r="12" spans="1:23" x14ac:dyDescent="0.25">
      <c r="A12" s="2">
        <v>105</v>
      </c>
      <c r="B12" s="2" t="s">
        <v>21</v>
      </c>
      <c r="C12" s="2" t="s">
        <v>22</v>
      </c>
      <c r="D12" s="2">
        <v>28</v>
      </c>
      <c r="E12" s="2">
        <v>45000</v>
      </c>
      <c r="F12" s="2">
        <v>5</v>
      </c>
      <c r="G12" s="2" t="s">
        <v>23</v>
      </c>
      <c r="H12" s="2" t="s">
        <v>15</v>
      </c>
      <c r="I12" s="2" t="str">
        <f>IF(E12&gt;50000,"high bonus","Low bonus")</f>
        <v>Low bonus</v>
      </c>
      <c r="J12" s="2" t="str">
        <f t="shared" si="0"/>
        <v>Karan  (Sales)</v>
      </c>
      <c r="M12" s="7" t="s">
        <v>74</v>
      </c>
      <c r="N12" s="7" t="s">
        <v>72</v>
      </c>
      <c r="O12" s="7" t="s">
        <v>71</v>
      </c>
      <c r="P12" s="7"/>
      <c r="W12" s="18" t="s">
        <v>77</v>
      </c>
    </row>
    <row r="13" spans="1:23" x14ac:dyDescent="0.25">
      <c r="A13" s="2">
        <v>113</v>
      </c>
      <c r="B13" s="2" t="s">
        <v>34</v>
      </c>
      <c r="C13" s="2" t="s">
        <v>22</v>
      </c>
      <c r="D13" s="2">
        <v>30</v>
      </c>
      <c r="E13" s="2">
        <v>46000</v>
      </c>
      <c r="F13" s="2">
        <v>5</v>
      </c>
      <c r="G13" s="2" t="s">
        <v>23</v>
      </c>
      <c r="H13" s="2" t="s">
        <v>11</v>
      </c>
      <c r="I13" s="2" t="str">
        <f>IF(E13&gt;50000,"high bonus","Low bonus")</f>
        <v>Low bonus</v>
      </c>
      <c r="J13" s="2" t="str">
        <f t="shared" si="0"/>
        <v>Suresh  (Sales)</v>
      </c>
      <c r="M13" s="7" t="s">
        <v>75</v>
      </c>
      <c r="N13" s="7" t="s">
        <v>71</v>
      </c>
      <c r="O13" s="7" t="s">
        <v>76</v>
      </c>
      <c r="P13" s="7"/>
      <c r="W13" s="18" t="s">
        <v>78</v>
      </c>
    </row>
    <row r="14" spans="1:23" x14ac:dyDescent="0.25">
      <c r="A14" s="2">
        <v>106</v>
      </c>
      <c r="B14" s="2" t="s">
        <v>24</v>
      </c>
      <c r="C14" s="2" t="s">
        <v>13</v>
      </c>
      <c r="D14" s="2">
        <v>30</v>
      </c>
      <c r="E14" s="2">
        <v>47000</v>
      </c>
      <c r="F14" s="2">
        <v>6</v>
      </c>
      <c r="G14" s="2" t="s">
        <v>25</v>
      </c>
      <c r="H14" s="2" t="s">
        <v>11</v>
      </c>
      <c r="I14" s="2" t="str">
        <f>IF(E14&gt;50000,"high bonus","Low bonus")</f>
        <v>Low bonus</v>
      </c>
      <c r="J14" s="2" t="str">
        <f t="shared" si="0"/>
        <v>Simran  (HR)</v>
      </c>
      <c r="W14" s="18" t="s">
        <v>79</v>
      </c>
    </row>
    <row r="15" spans="1:23" x14ac:dyDescent="0.25">
      <c r="A15" s="2">
        <v>110</v>
      </c>
      <c r="B15" s="2" t="s">
        <v>30</v>
      </c>
      <c r="C15" s="2" t="s">
        <v>9</v>
      </c>
      <c r="D15" s="2">
        <v>29</v>
      </c>
      <c r="E15" s="2">
        <v>48000</v>
      </c>
      <c r="F15" s="2">
        <v>5</v>
      </c>
      <c r="G15" s="2" t="s">
        <v>31</v>
      </c>
      <c r="H15" s="2" t="s">
        <v>15</v>
      </c>
      <c r="I15" s="2" t="str">
        <f>IF(E15&gt;50000,"high bonus","Low bonus")</f>
        <v>Low bonus</v>
      </c>
      <c r="J15" s="2" t="str">
        <f t="shared" si="0"/>
        <v>Anjali  (IT)</v>
      </c>
      <c r="O15" s="27" t="s">
        <v>113</v>
      </c>
      <c r="P15" s="28"/>
      <c r="Q15" s="29"/>
      <c r="W15" s="18" t="s">
        <v>89</v>
      </c>
    </row>
    <row r="16" spans="1:23" x14ac:dyDescent="0.25">
      <c r="A16" s="2">
        <v>103</v>
      </c>
      <c r="B16" s="2" t="s">
        <v>16</v>
      </c>
      <c r="C16" s="2" t="s">
        <v>17</v>
      </c>
      <c r="D16" s="2">
        <v>31</v>
      </c>
      <c r="E16" s="2">
        <v>50000</v>
      </c>
      <c r="F16" s="2">
        <v>6</v>
      </c>
      <c r="G16" s="2" t="s">
        <v>18</v>
      </c>
      <c r="H16" s="2" t="s">
        <v>19</v>
      </c>
      <c r="I16" s="2" t="str">
        <f>IF(E16&gt;50000,"high bonus","Low bonus")</f>
        <v>Low bonus</v>
      </c>
      <c r="J16" s="2" t="str">
        <f t="shared" si="0"/>
        <v>Amit  (Finance)</v>
      </c>
      <c r="M16" s="30" t="s">
        <v>80</v>
      </c>
      <c r="O16" s="24" t="s">
        <v>84</v>
      </c>
      <c r="P16" s="6"/>
      <c r="Q16" s="6"/>
      <c r="W16" s="18" t="s">
        <v>91</v>
      </c>
    </row>
    <row r="17" spans="1:23" x14ac:dyDescent="0.25">
      <c r="A17" s="2">
        <v>118</v>
      </c>
      <c r="B17" s="2" t="s">
        <v>40</v>
      </c>
      <c r="C17" s="2" t="s">
        <v>9</v>
      </c>
      <c r="D17" s="2">
        <v>31</v>
      </c>
      <c r="E17" s="2">
        <v>51000</v>
      </c>
      <c r="F17" s="2">
        <v>7</v>
      </c>
      <c r="G17" s="2" t="s">
        <v>31</v>
      </c>
      <c r="H17" s="2" t="s">
        <v>15</v>
      </c>
      <c r="I17" s="2" t="str">
        <f>IF(E17&gt;50000,"high bonus","Low bonus")</f>
        <v>high bonus</v>
      </c>
      <c r="J17" s="2" t="str">
        <f t="shared" si="0"/>
        <v>Akash  (IT)</v>
      </c>
      <c r="M17" s="6">
        <f>COUNTIF(C2:C21,"IT")</f>
        <v>6</v>
      </c>
      <c r="O17" s="25" t="s">
        <v>1</v>
      </c>
      <c r="P17" s="6"/>
      <c r="Q17" s="6"/>
      <c r="W17" s="18" t="s">
        <v>90</v>
      </c>
    </row>
    <row r="18" spans="1:23" x14ac:dyDescent="0.25">
      <c r="A18" s="2">
        <v>108</v>
      </c>
      <c r="B18" s="2" t="s">
        <v>28</v>
      </c>
      <c r="C18" s="2" t="s">
        <v>17</v>
      </c>
      <c r="D18" s="2">
        <v>32</v>
      </c>
      <c r="E18" s="2">
        <v>52000</v>
      </c>
      <c r="F18" s="2">
        <v>7</v>
      </c>
      <c r="G18" s="2" t="s">
        <v>14</v>
      </c>
      <c r="H18" s="2" t="s">
        <v>15</v>
      </c>
      <c r="I18" s="2" t="str">
        <f>IF(E18&gt;50000,"high bonus","Low bonus")</f>
        <v>high bonus</v>
      </c>
      <c r="J18" s="2" t="str">
        <f t="shared" si="0"/>
        <v>Meera  (Finance)</v>
      </c>
      <c r="M18" s="6"/>
      <c r="O18" s="6" t="str" cm="1">
        <f t="array" ref="O18:Q18">_xlfn.XLOOKUP(LARGE(E2:E21,{1,2,3}),E2:E21,B2:B21)</f>
        <v>Manish</v>
      </c>
      <c r="P18" s="6" t="str">
        <v>Deepak</v>
      </c>
      <c r="Q18" s="6" t="str">
        <v>Pooja</v>
      </c>
      <c r="W18" s="18" t="s">
        <v>96</v>
      </c>
    </row>
    <row r="19" spans="1:23" ht="16.5" x14ac:dyDescent="0.25">
      <c r="A19" s="2">
        <v>112</v>
      </c>
      <c r="B19" s="2" t="s">
        <v>33</v>
      </c>
      <c r="C19" s="2" t="s">
        <v>17</v>
      </c>
      <c r="D19" s="2">
        <v>33</v>
      </c>
      <c r="E19" s="2">
        <v>56000</v>
      </c>
      <c r="F19" s="2">
        <v>8</v>
      </c>
      <c r="G19" s="2" t="s">
        <v>14</v>
      </c>
      <c r="H19" s="2" t="s">
        <v>15</v>
      </c>
      <c r="I19" s="2" t="str">
        <f>IF(E19&gt;50000,"high bonus","Low bonus")</f>
        <v>high bonus</v>
      </c>
      <c r="J19" s="2" t="str">
        <f t="shared" si="0"/>
        <v>Pooja  (Finance)</v>
      </c>
      <c r="M19" s="31" t="s">
        <v>82</v>
      </c>
      <c r="O19" s="6"/>
      <c r="P19" s="6"/>
      <c r="Q19" s="6"/>
    </row>
    <row r="20" spans="1:23" x14ac:dyDescent="0.25">
      <c r="A20" s="2">
        <v>120</v>
      </c>
      <c r="B20" s="2" t="s">
        <v>42</v>
      </c>
      <c r="C20" s="2" t="s">
        <v>17</v>
      </c>
      <c r="D20" s="2">
        <v>34</v>
      </c>
      <c r="E20" s="2">
        <v>58000</v>
      </c>
      <c r="F20" s="2">
        <v>9</v>
      </c>
      <c r="G20" s="2" t="s">
        <v>14</v>
      </c>
      <c r="H20" s="2" t="s">
        <v>15</v>
      </c>
      <c r="I20" s="2" t="str">
        <f>IF(E20&gt;50000,"high bonus","Low bonus")</f>
        <v>high bonus</v>
      </c>
      <c r="J20" s="2" t="str">
        <f t="shared" si="0"/>
        <v>Deepak  (Finance)</v>
      </c>
      <c r="M20" s="6">
        <f>SUMIF(C2:C21,"IT",E2:E21)</f>
        <v>244000</v>
      </c>
      <c r="O20" s="6"/>
      <c r="P20" s="6"/>
      <c r="Q20" s="6"/>
    </row>
    <row r="21" spans="1:23" x14ac:dyDescent="0.25">
      <c r="A21" s="2">
        <v>116</v>
      </c>
      <c r="B21" s="2" t="s">
        <v>38</v>
      </c>
      <c r="C21" s="2" t="s">
        <v>17</v>
      </c>
      <c r="D21" s="2">
        <v>35</v>
      </c>
      <c r="E21" s="2">
        <v>60000</v>
      </c>
      <c r="F21" s="2">
        <v>10</v>
      </c>
      <c r="G21" s="2" t="s">
        <v>18</v>
      </c>
      <c r="H21" s="2" t="s">
        <v>15</v>
      </c>
      <c r="I21" s="2" t="str">
        <f>IF(E21&gt;50000,"high bonus","Low bonus")</f>
        <v>high bonus</v>
      </c>
      <c r="J21" s="2" t="str">
        <f t="shared" si="0"/>
        <v>Manish  (Finance)</v>
      </c>
      <c r="M21" s="6"/>
      <c r="O21" s="25" t="s">
        <v>4</v>
      </c>
      <c r="P21" s="6"/>
      <c r="Q21" s="6"/>
    </row>
    <row r="22" spans="1:23" x14ac:dyDescent="0.25">
      <c r="A22" s="2"/>
      <c r="B22" s="2"/>
      <c r="C22" s="2"/>
      <c r="D22" s="2"/>
      <c r="F22" s="2"/>
      <c r="G22" s="2"/>
      <c r="H22" s="2"/>
      <c r="I22" s="2"/>
      <c r="J22" s="2"/>
      <c r="M22" s="30" t="s">
        <v>81</v>
      </c>
      <c r="O22" s="6" cm="1">
        <f t="array" ref="O22:Q22">LARGE(E2:E21,{1,2,3})</f>
        <v>60000</v>
      </c>
      <c r="P22" s="6">
        <v>58000</v>
      </c>
      <c r="Q22" s="6">
        <v>56000</v>
      </c>
    </row>
    <row r="23" spans="1:23" x14ac:dyDescent="0.25">
      <c r="B23" s="32" t="s">
        <v>46</v>
      </c>
      <c r="M23" s="6">
        <f>COUNTIF(C2:C21,"HR")</f>
        <v>5</v>
      </c>
      <c r="O23" s="6"/>
      <c r="P23" s="6"/>
      <c r="Q23" s="6"/>
    </row>
    <row r="24" spans="1:23" x14ac:dyDescent="0.25">
      <c r="B24" s="7">
        <f>COUNTA(Table2[Name])</f>
        <v>20</v>
      </c>
      <c r="M24" s="6"/>
      <c r="O24" s="6"/>
      <c r="P24" s="6"/>
      <c r="Q24" s="6"/>
    </row>
    <row r="25" spans="1:23" ht="15.75" x14ac:dyDescent="0.25">
      <c r="M25" s="30" t="s">
        <v>83</v>
      </c>
      <c r="O25" s="26" t="s">
        <v>85</v>
      </c>
      <c r="P25" s="6"/>
      <c r="Q25" s="6"/>
    </row>
    <row r="26" spans="1:23" x14ac:dyDescent="0.25">
      <c r="M26" s="6">
        <f>SUMIF(C2:C21,"HR",E2:E21)</f>
        <v>212000</v>
      </c>
      <c r="O26" s="6" t="str" cm="1">
        <f t="array" ref="O26:Q26">_xlfn.XLOOKUP(SMALL(E2:E21,{1,2,3}),E2:E21,B2:B21)</f>
        <v>Kavya</v>
      </c>
      <c r="P26" s="6" t="str">
        <v>Rahul</v>
      </c>
      <c r="Q26" s="6" t="str">
        <v>Vivek</v>
      </c>
    </row>
    <row r="27" spans="1:23" x14ac:dyDescent="0.25">
      <c r="O27" s="6" cm="1">
        <f t="array" ref="O27:Q27">SMALL(E2:E21,{1,2,3})</f>
        <v>34000</v>
      </c>
      <c r="P27" s="6">
        <v>35000</v>
      </c>
      <c r="Q27" s="6">
        <v>36000</v>
      </c>
    </row>
    <row r="30" spans="1:23" x14ac:dyDescent="0.25">
      <c r="H30" s="2"/>
    </row>
    <row r="31" spans="1:23" x14ac:dyDescent="0.25">
      <c r="H31" t="s">
        <v>43</v>
      </c>
    </row>
    <row r="32" spans="1:23" x14ac:dyDescent="0.25">
      <c r="H32">
        <f>AVERAGE(E6:E21)</f>
        <v>47625</v>
      </c>
    </row>
    <row r="34" spans="8:8" x14ac:dyDescent="0.25">
      <c r="H34" t="s">
        <v>44</v>
      </c>
    </row>
    <row r="35" spans="8:8" x14ac:dyDescent="0.25">
      <c r="H35">
        <f>MAX(Table2[Salary])</f>
        <v>60000</v>
      </c>
    </row>
    <row r="37" spans="8:8" x14ac:dyDescent="0.25">
      <c r="H37" t="s">
        <v>45</v>
      </c>
    </row>
    <row r="38" spans="8:8" x14ac:dyDescent="0.25">
      <c r="H38">
        <f>MIN(Table2[Salary])</f>
        <v>34000</v>
      </c>
    </row>
    <row r="40" spans="8:8" x14ac:dyDescent="0.25">
      <c r="H40" s="9" t="s">
        <v>59</v>
      </c>
    </row>
    <row r="41" spans="8:8" x14ac:dyDescent="0.25">
      <c r="H41">
        <f>SUM(E2:E21)</f>
        <v>904000</v>
      </c>
    </row>
  </sheetData>
  <mergeCells count="7">
    <mergeCell ref="R1:S1"/>
    <mergeCell ref="O15:Q15"/>
    <mergeCell ref="M1:N1"/>
    <mergeCell ref="M4:N4"/>
    <mergeCell ref="M3:N3"/>
    <mergeCell ref="M6:P6"/>
    <mergeCell ref="O1:Q1"/>
  </mergeCells>
  <conditionalFormatting sqref="M11">
    <cfRule type="cellIs" dxfId="2" priority="2" operator="greaterThan">
      <formula>5000</formula>
    </cfRule>
    <cfRule type="cellIs" dxfId="1" priority="3" operator="greaterThan">
      <formula>5000</formula>
    </cfRule>
  </conditionalFormatting>
  <conditionalFormatting sqref="E1:E21 E32:E1048576 H30:H38">
    <cfRule type="cellIs" dxfId="0" priority="1" operator="greaterThan">
      <formula>50000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JAISWAL</dc:creator>
  <cp:lastModifiedBy>RISHIKESH JAISWAL</cp:lastModifiedBy>
  <dcterms:created xsi:type="dcterms:W3CDTF">2026-05-08T21:24:33Z</dcterms:created>
  <dcterms:modified xsi:type="dcterms:W3CDTF">2026-05-08T23:14:42Z</dcterms:modified>
</cp:coreProperties>
</file>